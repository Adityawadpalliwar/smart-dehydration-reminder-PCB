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.csv" sheetId="1" r:id="rId5"/>
  </sheets>
  <definedNames/>
  <calcPr/>
</workbook>
</file>

<file path=xl/sharedStrings.xml><?xml version="1.0" encoding="utf-8"?>
<sst xmlns="http://schemas.openxmlformats.org/spreadsheetml/2006/main" count="131" uniqueCount="115">
  <si>
    <t>Reference</t>
  </si>
  <si>
    <t>Qty</t>
  </si>
  <si>
    <t>Value</t>
  </si>
  <si>
    <t>Footprint</t>
  </si>
  <si>
    <t>Price</t>
  </si>
  <si>
    <t>Purchase-URL</t>
  </si>
  <si>
    <t>C1</t>
  </si>
  <si>
    <t>4.7nF</t>
  </si>
  <si>
    <t>Capacitor_SMD:C_0603_1608Metric</t>
  </si>
  <si>
    <t>https://robu.in/product/gcm188r91h472ka37d-murata-electronics-50v-4-7nf-x8r-%c2%b110-0603-multilayer-ceramic-capacitors-mlcc-smd-smt-rohs/</t>
  </si>
  <si>
    <t>C3,C8</t>
  </si>
  <si>
    <t>1uF</t>
  </si>
  <si>
    <t>Capacitor_SMD:C_0805_2012Metric</t>
  </si>
  <si>
    <t>https://robu.in/product/cc0805kkx7r0bb105-yageo-100v-1uf-x7r-%c2%b110-0805-multilayer-ceramic-capacitors-mlcc-smd-smt-rohs/</t>
  </si>
  <si>
    <t>C4,C5</t>
  </si>
  <si>
    <t>4.7uF</t>
  </si>
  <si>
    <t>https://robu.in/product/0805x475k500nt-fh-50v-4-7uf-x5r%c2%b110-0805-multilayer-ceramic-capacitors-mlcc-smd-smt-rohs/</t>
  </si>
  <si>
    <t>C6,C7</t>
  </si>
  <si>
    <t>100nF</t>
  </si>
  <si>
    <t>https://robu.in/product/cc0603jrx7r7bb104-yageo-16v-100nf-x7r-%c2%b15-0603-multilayer-ceramic-capacitors-mlcc-smd-smt-rohs/</t>
  </si>
  <si>
    <t>C9,C10</t>
  </si>
  <si>
    <t>0.1uF</t>
  </si>
  <si>
    <t>C11</t>
  </si>
  <si>
    <t>2.2uF</t>
  </si>
  <si>
    <t>https://robu.in/product/2-2-uf-10000nf-25-v-capacitor-0805-smd-package-pack-of-10/</t>
  </si>
  <si>
    <t>CR1</t>
  </si>
  <si>
    <t>1N4148W-7-F</t>
  </si>
  <si>
    <t>footprints2:SOD123_DIO</t>
  </si>
  <si>
    <t>https://robu.in/product/1n4148-surface-mount-zener-diode-pack-of-30/</t>
  </si>
  <si>
    <t>D1</t>
  </si>
  <si>
    <t>BLUE  LED</t>
  </si>
  <si>
    <t>LED_SMD:LED_0402_1005Metric_Pad0.77x0.64mm_HandSolder</t>
  </si>
  <si>
    <t>https://robu.in/product/0402-surface-mount-led-blue-50-pcs/</t>
  </si>
  <si>
    <t>D2</t>
  </si>
  <si>
    <t>RED LED</t>
  </si>
  <si>
    <t>https://robu.in/product/0402-surface-mount-led-red-50pcs/</t>
  </si>
  <si>
    <t>D3</t>
  </si>
  <si>
    <t>GREEN LED</t>
  </si>
  <si>
    <t>https://robu.in/product/0402-surface-mount-led-green-50-pcs/</t>
  </si>
  <si>
    <t>IC1</t>
  </si>
  <si>
    <t>RT9080-33GJ5</t>
  </si>
  <si>
    <t>RT9080-33GJ5:SOT94P280X100-5N</t>
  </si>
  <si>
    <t>https://robu.in/product/rt9080-33gj5-richtek-ldo-voltage-regulator-fixed-1-2-v-to-5-5-v-in-3-3-v-600-ma-out-310-mv-drop-tsot-23-5/</t>
  </si>
  <si>
    <t>J1</t>
  </si>
  <si>
    <t>USB_C_Receptacle_USB2.0_16P</t>
  </si>
  <si>
    <t>Connector_USB:USB_C_Receptacle_HRO_TYPE-C-31-M-12</t>
  </si>
  <si>
    <t>https://robu.in/product/type-c-31-m-17-hroparts-1-6p-female-type-c-smd-usb-connectors-rohs/</t>
  </si>
  <si>
    <t>J2</t>
  </si>
  <si>
    <t>BAT-</t>
  </si>
  <si>
    <t>Connector_Wire:SolderWirePad_1x01_SMD_1x2mm</t>
  </si>
  <si>
    <t>J3</t>
  </si>
  <si>
    <t>BAT+</t>
  </si>
  <si>
    <t>Q1</t>
  </si>
  <si>
    <t>AO3400-5.8A</t>
  </si>
  <si>
    <t>AO3400-5.8A:SOT95P260X140-3N</t>
  </si>
  <si>
    <t>https://robu.in/product/ao3400-xblw-30v-5-8a-34m%25cf%25894-5v5a-1-4w-700mv250ua-1-n-channel-sot-23-3l-mosfets-rohs/</t>
  </si>
  <si>
    <t>R1,R2</t>
  </si>
  <si>
    <t>5.1K</t>
  </si>
  <si>
    <t>Resistor_SMD:R_0603_1608Metric</t>
  </si>
  <si>
    <t>https://robu.in/product/rc0603jr-075k1l-yageo-res-thick-film-0603-5-1k-ohm-5-0-1w1-10w-%C2%B1100ppm-c-pad-smd-t-r/</t>
  </si>
  <si>
    <t>R3</t>
  </si>
  <si>
    <t>1M</t>
  </si>
  <si>
    <t>https://robu.in/product/1m-ohm-1-4w-0603-surface-mount-chip-resistor-pack-of-100/</t>
  </si>
  <si>
    <t>R4,R7,R8</t>
  </si>
  <si>
    <t>4.7K</t>
  </si>
  <si>
    <t>https://robu.in/product/4-7k-ohm-1-4w-0603-surface-mount-chip-resistor-pack-of-100/</t>
  </si>
  <si>
    <t>R5</t>
  </si>
  <si>
    <t>120k</t>
  </si>
  <si>
    <t>https://robu.in/product/rt0603brd07120kl-yageo-smd-chip-resistor-120-kohm-%c2%b1-0-1-100-mw-0603-1608-metric-thin-film/</t>
  </si>
  <si>
    <t>R6,R9,R10</t>
  </si>
  <si>
    <t>10K</t>
  </si>
  <si>
    <t>https://robu.in/product/10k-ohm-1-4w-0603-surface-mount-chip-resistor-pack-of-100/</t>
  </si>
  <si>
    <t>R11</t>
  </si>
  <si>
    <t>https://robu.in/product/100-ohm-1-4w-0603-surface-mount-chip-resistor-pack-of-100/</t>
  </si>
  <si>
    <t>R12</t>
  </si>
  <si>
    <t>https://robu.in/product/ac0402jr-0750rl-yageo-res-thick-film-0402-50-ohm-5-0-063w1-16w-%c2%b1100ppm-c-pad-smd-t-r-automotive-aec-q200/</t>
  </si>
  <si>
    <t>R13,R14,R15</t>
  </si>
  <si>
    <t>100K</t>
  </si>
  <si>
    <t>https://robu.in/product/100k-ohm-1-4w-0603-surface-mount-chip-resistor-pack-of-100/</t>
  </si>
  <si>
    <t>S1</t>
  </si>
  <si>
    <t>JS202011SCQN</t>
  </si>
  <si>
    <t>JS202011SCQN:SW_JS202011SCQN</t>
  </si>
  <si>
    <t>https://robu.in/product/js202011scqn-ck-300ma-standing-paste-dpdt-6v-5-thousand-times-smd-slide-switches-rohs/</t>
  </si>
  <si>
    <t>S2</t>
  </si>
  <si>
    <t>PTS526_SMG15_SMTR2_LFS</t>
  </si>
  <si>
    <t>PTS526_SMG15_SMTR2_LFS:SW_PTS526_SMG15_SMTR2_LFS</t>
  </si>
  <si>
    <t>https://robu.in/product/pts526-spg15-smtr2-lfs-ck-5-2mm-1-5mm-5-2mm-320gf-smd-tactile-switches-rohs/</t>
  </si>
  <si>
    <t>U2</t>
  </si>
  <si>
    <t>ESP32-C3-MINI-1U-H4</t>
  </si>
  <si>
    <t>footprints3:ESP32-C3-MINI-1U_EXP</t>
  </si>
  <si>
    <t>https://robu.in/product/espressif-esp32-c3-mini-1-h4-module/</t>
  </si>
  <si>
    <t>U3</t>
  </si>
  <si>
    <t>BMI270</t>
  </si>
  <si>
    <t>BMI270:XDCR_BMI270</t>
  </si>
  <si>
    <t>https://robu.in/product/bosch-bmi270motion-sensoric22-g-4-g-8-g-16-g/</t>
  </si>
  <si>
    <t>U4</t>
  </si>
  <si>
    <t>MCP73831-2-OT</t>
  </si>
  <si>
    <t>Package_TO_SOT_SMD:SOT-23-5</t>
  </si>
  <si>
    <t>https://robu.in/product/mcp73831t-2aci-ot-4-2v-500ma-single-cell-li-ion-li-polymer-battery-charge-management-controller-5-pin-sot-23-microchip-technology/</t>
  </si>
  <si>
    <t>U5</t>
  </si>
  <si>
    <t>TMB12A03</t>
  </si>
  <si>
    <t>footprints4:AUDIO_TMB12A03_JHE</t>
  </si>
  <si>
    <t>https://robu.in/product/tmb12a03-cldz-electromagnetic-active-integrated-buzzer-3v12x9-5mm/</t>
  </si>
  <si>
    <t>U6</t>
  </si>
  <si>
    <t>USBLC6-2P6</t>
  </si>
  <si>
    <t>Package_TO_SOT_SMD:SOT-666</t>
  </si>
  <si>
    <t>https://robu.in/product/usblc6-2sc6-stmicroelectronics-usblc6-2sc6-esd-protection-device-17-v-sot-23-6-pins-usblc/</t>
  </si>
  <si>
    <t>BT1</t>
  </si>
  <si>
    <t>450mAh LiPo battery</t>
  </si>
  <si>
    <t>(not in schematic)</t>
  </si>
  <si>
    <t>https://robu.in/product/450mah-pcm-protected-micro-li-po-battery/</t>
  </si>
  <si>
    <t>Y1</t>
  </si>
  <si>
    <t>32.768kHz crystal</t>
  </si>
  <si>
    <t>https://robu.in/product/yxc-32-768-khz-12-5-pf-tuning-fork-quartz-crystal-smd-3-2x1-5x0-8mm/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</si>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</sst>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obu.in/product/ac0402jr-0750rl-yageo-res-thick-film-0402-50-ohm-5-0-063w1-16w-%c2%b1100ppm-c-pad-smd-t-r-automotive-aec-q200/" TargetMode="External"/><Relationship Id="rId22" Type="http://schemas.openxmlformats.org/officeDocument/2006/relationships/hyperlink" Target="https://robu.in/product/js202011scqn-ck-300ma-standing-paste-dpdt-6v-5-thousand-times-smd-slide-switches-rohs/" TargetMode="External"/><Relationship Id="rId21" Type="http://schemas.openxmlformats.org/officeDocument/2006/relationships/hyperlink" Target="https://robu.in/product/100k-ohm-1-4w-0603-surface-mount-chip-resistor-pack-of-100/" TargetMode="External"/><Relationship Id="rId24" Type="http://schemas.openxmlformats.org/officeDocument/2006/relationships/hyperlink" Target="https://robu.in/product/espressif-esp32-c3-mini-1-h4-module/" TargetMode="External"/><Relationship Id="rId23" Type="http://schemas.openxmlformats.org/officeDocument/2006/relationships/hyperlink" Target="https://robu.in/product/pts526-spg15-smtr2-lfs-ck-5-2mm-1-5mm-5-2mm-320gf-smd-tactile-switches-rohs/" TargetMode="External"/><Relationship Id="rId1" Type="http://schemas.openxmlformats.org/officeDocument/2006/relationships/hyperlink" Target="https://robu.in/product/gcm188r91h472ka37d-murata-electronics-50v-4-7nf-x8r-%c2%b110-0603-multilayer-ceramic-capacitors-mlcc-smd-smt-rohs/" TargetMode="External"/><Relationship Id="rId2" Type="http://schemas.openxmlformats.org/officeDocument/2006/relationships/hyperlink" Target="https://robu.in/product/cc0805kkx7r0bb105-yageo-100v-1uf-x7r-%c2%b110-0805-multilayer-ceramic-capacitors-mlcc-smd-smt-rohs/" TargetMode="External"/><Relationship Id="rId3" Type="http://schemas.openxmlformats.org/officeDocument/2006/relationships/hyperlink" Target="https://robu.in/product/0805x475k500nt-fh-50v-4-7uf-x5r%c2%b110-0805-multilayer-ceramic-capacitors-mlcc-smd-smt-rohs/" TargetMode="External"/><Relationship Id="rId4" Type="http://schemas.openxmlformats.org/officeDocument/2006/relationships/hyperlink" Target="https://robu.in/product/cc0603jrx7r7bb104-yageo-16v-100nf-x7r-%c2%b15-0603-multilayer-ceramic-capacitors-mlcc-smd-smt-rohs/" TargetMode="External"/><Relationship Id="rId9" Type="http://schemas.openxmlformats.org/officeDocument/2006/relationships/hyperlink" Target="https://robu.in/product/0402-surface-mount-led-red-50pcs/" TargetMode="External"/><Relationship Id="rId26" Type="http://schemas.openxmlformats.org/officeDocument/2006/relationships/hyperlink" Target="https://robu.in/product/mcp73831t-2aci-ot-4-2v-500ma-single-cell-li-ion-li-polymer-battery-charge-management-controller-5-pin-sot-23-microchip-technology/" TargetMode="External"/><Relationship Id="rId25" Type="http://schemas.openxmlformats.org/officeDocument/2006/relationships/hyperlink" Target="https://robu.in/product/bosch-bmi270motion-sensoric22-g-4-g-8-g-16-g/" TargetMode="External"/><Relationship Id="rId28" Type="http://schemas.openxmlformats.org/officeDocument/2006/relationships/hyperlink" Target="https://robu.in/product/usblc6-2sc6-stmicroelectronics-usblc6-2sc6-esd-protection-device-17-v-sot-23-6-pins-usblc/" TargetMode="External"/><Relationship Id="rId27" Type="http://schemas.openxmlformats.org/officeDocument/2006/relationships/hyperlink" Target="https://robu.in/product/tmb12a03-cldz-electromagnetic-active-integrated-buzzer-3v12x9-5mm/" TargetMode="External"/><Relationship Id="rId5" Type="http://schemas.openxmlformats.org/officeDocument/2006/relationships/hyperlink" Target="https://robu.in/product/cc0603jrx7r7bb104-yageo-16v-100nf-x7r-%c2%b15-0603-multilayer-ceramic-capacitors-mlcc-smd-smt-rohs/" TargetMode="External"/><Relationship Id="rId6" Type="http://schemas.openxmlformats.org/officeDocument/2006/relationships/hyperlink" Target="https://robu.in/product/2-2-uf-10000nf-25-v-capacitor-0805-smd-package-pack-of-10/" TargetMode="External"/><Relationship Id="rId29" Type="http://schemas.openxmlformats.org/officeDocument/2006/relationships/hyperlink" Target="https://robu.in/product/450mah-pcm-protected-micro-li-po-battery/" TargetMode="External"/><Relationship Id="rId7" Type="http://schemas.openxmlformats.org/officeDocument/2006/relationships/hyperlink" Target="https://robu.in/product/1n4148-surface-mount-zener-diode-pack-of-30/" TargetMode="External"/><Relationship Id="rId8" Type="http://schemas.openxmlformats.org/officeDocument/2006/relationships/hyperlink" Target="https://robu.in/product/0402-surface-mount-led-blue-50-pcs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robu.in/product/yxc-32-768-khz-12-5-pf-tuning-fork-quartz-crystal-smd-3-2x1-5x0-8mm/" TargetMode="External"/><Relationship Id="rId11" Type="http://schemas.openxmlformats.org/officeDocument/2006/relationships/hyperlink" Target="https://robu.in/product/rt9080-33gj5-richtek-ldo-voltage-regulator-fixed-1-2-v-to-5-5-v-in-3-3-v-600-ma-out-310-mv-drop-tsot-23-5/" TargetMode="External"/><Relationship Id="rId10" Type="http://schemas.openxmlformats.org/officeDocument/2006/relationships/hyperlink" Target="https://robu.in/product/0402-surface-mount-led-green-50-pcs/" TargetMode="External"/><Relationship Id="rId13" Type="http://schemas.openxmlformats.org/officeDocument/2006/relationships/hyperlink" Target="https://robu.in/product/ao3400-xblw-30v-5-8a-34m%25cf%25894-5v5a-1-4w-700mv250ua-1-n-channel-sot-23-3l-mosfets-rohs/" TargetMode="External"/><Relationship Id="rId12" Type="http://schemas.openxmlformats.org/officeDocument/2006/relationships/hyperlink" Target="https://robu.in/product/type-c-31-m-17-hroparts-1-6p-female-type-c-smd-usb-connectors-rohs/" TargetMode="External"/><Relationship Id="rId15" Type="http://schemas.openxmlformats.org/officeDocument/2006/relationships/hyperlink" Target="https://robu.in/product/1m-ohm-1-4w-0603-surface-mount-chip-resistor-pack-of-100/" TargetMode="External"/><Relationship Id="rId14" Type="http://schemas.openxmlformats.org/officeDocument/2006/relationships/hyperlink" Target="https://robu.in/product/rc0603jr-075k1l-yageo-res-thick-film-0603-5-1k-ohm-5-0-1w1-10w-%C2%B1100ppm-c-pad-smd-t-r/" TargetMode="External"/><Relationship Id="rId17" Type="http://schemas.openxmlformats.org/officeDocument/2006/relationships/hyperlink" Target="https://robu.in/product/rt0603brd07120kl-yageo-smd-chip-resistor-120-kohm-%c2%b1-0-1-100-mw-0603-1608-metric-thin-film/" TargetMode="External"/><Relationship Id="rId16" Type="http://schemas.openxmlformats.org/officeDocument/2006/relationships/hyperlink" Target="https://robu.in/product/4-7k-ohm-1-4w-0603-surface-mount-chip-resistor-pack-of-100/" TargetMode="External"/><Relationship Id="rId19" Type="http://schemas.openxmlformats.org/officeDocument/2006/relationships/hyperlink" Target="https://robu.in/product/100-ohm-1-4w-0603-surface-mount-chip-resistor-pack-of-100/" TargetMode="External"/><Relationship Id="rId18" Type="http://schemas.openxmlformats.org/officeDocument/2006/relationships/hyperlink" Target="https://robu.in/product/10k-ohm-1-4w-0603-surface-mount-chip-resistor-pack-of-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63"/>
    <col customWidth="1" min="6" max="6" width="10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>
        <v>3.59</v>
      </c>
      <c r="F2" s="2" t="s">
        <v>9</v>
      </c>
    </row>
    <row r="3">
      <c r="A3" s="1" t="s">
        <v>10</v>
      </c>
      <c r="B3" s="1">
        <v>2.0</v>
      </c>
      <c r="C3" s="1" t="s">
        <v>11</v>
      </c>
      <c r="D3" s="1" t="s">
        <v>12</v>
      </c>
      <c r="E3" s="1">
        <v>4.97</v>
      </c>
      <c r="F3" s="2" t="s">
        <v>13</v>
      </c>
    </row>
    <row r="4">
      <c r="A4" s="1" t="s">
        <v>14</v>
      </c>
      <c r="B4" s="1">
        <v>2.0</v>
      </c>
      <c r="C4" s="1" t="s">
        <v>15</v>
      </c>
      <c r="D4" s="1" t="s">
        <v>12</v>
      </c>
      <c r="E4" s="1">
        <v>1.89</v>
      </c>
      <c r="F4" s="2" t="s">
        <v>16</v>
      </c>
    </row>
    <row r="5">
      <c r="A5" s="1" t="s">
        <v>17</v>
      </c>
      <c r="B5" s="1">
        <v>2.0</v>
      </c>
      <c r="C5" s="1" t="s">
        <v>18</v>
      </c>
      <c r="D5" s="1" t="s">
        <v>8</v>
      </c>
      <c r="E5" s="1">
        <v>4.2</v>
      </c>
      <c r="F5" s="2" t="s">
        <v>19</v>
      </c>
    </row>
    <row r="6">
      <c r="A6" s="1" t="s">
        <v>20</v>
      </c>
      <c r="B6" s="1">
        <v>2.0</v>
      </c>
      <c r="C6" s="1" t="s">
        <v>21</v>
      </c>
      <c r="D6" s="1" t="s">
        <v>8</v>
      </c>
      <c r="E6" s="1">
        <v>0.3</v>
      </c>
      <c r="F6" s="2" t="s">
        <v>19</v>
      </c>
    </row>
    <row r="7">
      <c r="A7" s="1" t="s">
        <v>22</v>
      </c>
      <c r="B7" s="1">
        <v>1.0</v>
      </c>
      <c r="C7" s="1" t="s">
        <v>23</v>
      </c>
      <c r="D7" s="1" t="s">
        <v>12</v>
      </c>
      <c r="E7" s="1">
        <v>1.14</v>
      </c>
      <c r="F7" s="3" t="s">
        <v>24</v>
      </c>
    </row>
    <row r="8">
      <c r="A8" s="1" t="s">
        <v>25</v>
      </c>
      <c r="B8" s="1">
        <v>1.0</v>
      </c>
      <c r="C8" s="1" t="s">
        <v>26</v>
      </c>
      <c r="D8" s="1" t="s">
        <v>27</v>
      </c>
      <c r="E8" s="1">
        <v>2.22</v>
      </c>
      <c r="F8" s="3" t="s">
        <v>28</v>
      </c>
    </row>
    <row r="9">
      <c r="A9" s="1" t="s">
        <v>29</v>
      </c>
      <c r="B9" s="1">
        <v>1.0</v>
      </c>
      <c r="C9" s="1" t="s">
        <v>30</v>
      </c>
      <c r="D9" s="1" t="s">
        <v>31</v>
      </c>
      <c r="E9" s="1">
        <v>1.52</v>
      </c>
      <c r="F9" s="3" t="s">
        <v>32</v>
      </c>
    </row>
    <row r="10">
      <c r="A10" s="1" t="s">
        <v>33</v>
      </c>
      <c r="B10" s="1">
        <v>1.0</v>
      </c>
      <c r="C10" s="1" t="s">
        <v>34</v>
      </c>
      <c r="D10" s="1" t="s">
        <v>31</v>
      </c>
      <c r="E10" s="1">
        <v>0.97</v>
      </c>
      <c r="F10" s="3" t="s">
        <v>35</v>
      </c>
    </row>
    <row r="11">
      <c r="A11" s="1" t="s">
        <v>36</v>
      </c>
      <c r="B11" s="1">
        <v>1.0</v>
      </c>
      <c r="C11" s="1" t="s">
        <v>37</v>
      </c>
      <c r="D11" s="1" t="s">
        <v>31</v>
      </c>
      <c r="E11" s="1">
        <v>1.91</v>
      </c>
      <c r="F11" s="3" t="s">
        <v>38</v>
      </c>
    </row>
    <row r="12">
      <c r="A12" s="1" t="s">
        <v>39</v>
      </c>
      <c r="B12" s="1">
        <v>1.0</v>
      </c>
      <c r="C12" s="1" t="s">
        <v>40</v>
      </c>
      <c r="D12" s="1" t="s">
        <v>41</v>
      </c>
      <c r="E12" s="1">
        <v>14.0</v>
      </c>
      <c r="F12" s="3" t="s">
        <v>42</v>
      </c>
    </row>
    <row r="13">
      <c r="A13" s="1" t="s">
        <v>43</v>
      </c>
      <c r="B13" s="1">
        <v>1.0</v>
      </c>
      <c r="C13" s="1" t="s">
        <v>44</v>
      </c>
      <c r="D13" s="1" t="s">
        <v>45</v>
      </c>
      <c r="E13" s="1">
        <v>30.0</v>
      </c>
      <c r="F13" s="3" t="s">
        <v>46</v>
      </c>
    </row>
    <row r="14">
      <c r="A14" s="1" t="s">
        <v>47</v>
      </c>
      <c r="B14" s="1">
        <v>1.0</v>
      </c>
      <c r="C14" s="1" t="s">
        <v>48</v>
      </c>
      <c r="D14" s="1" t="s">
        <v>49</v>
      </c>
    </row>
    <row r="15">
      <c r="A15" s="1" t="s">
        <v>50</v>
      </c>
      <c r="B15" s="1">
        <v>1.0</v>
      </c>
      <c r="C15" s="1" t="s">
        <v>51</v>
      </c>
      <c r="D15" s="1" t="s">
        <v>49</v>
      </c>
    </row>
    <row r="16">
      <c r="A16" s="1" t="s">
        <v>52</v>
      </c>
      <c r="B16" s="1">
        <v>1.0</v>
      </c>
      <c r="C16" s="1" t="s">
        <v>53</v>
      </c>
      <c r="D16" s="1" t="s">
        <v>54</v>
      </c>
      <c r="E16" s="1">
        <v>8.0</v>
      </c>
      <c r="F16" s="3" t="s">
        <v>55</v>
      </c>
    </row>
    <row r="17">
      <c r="A17" s="1" t="s">
        <v>56</v>
      </c>
      <c r="B17" s="1">
        <v>2.0</v>
      </c>
      <c r="C17" s="1" t="s">
        <v>57</v>
      </c>
      <c r="D17" s="1" t="s">
        <v>58</v>
      </c>
      <c r="E17" s="1">
        <v>0.2</v>
      </c>
      <c r="F17" s="3" t="s">
        <v>59</v>
      </c>
    </row>
    <row r="18">
      <c r="A18" s="1" t="s">
        <v>60</v>
      </c>
      <c r="B18" s="1">
        <v>1.0</v>
      </c>
      <c r="C18" s="1" t="s">
        <v>61</v>
      </c>
      <c r="D18" s="1" t="s">
        <v>58</v>
      </c>
      <c r="E18" s="1">
        <v>1.34</v>
      </c>
      <c r="F18" s="3" t="s">
        <v>62</v>
      </c>
    </row>
    <row r="19">
      <c r="A19" s="1" t="s">
        <v>63</v>
      </c>
      <c r="B19" s="1">
        <v>3.0</v>
      </c>
      <c r="C19" s="1" t="s">
        <v>64</v>
      </c>
      <c r="D19" s="1" t="s">
        <v>58</v>
      </c>
      <c r="E19" s="1">
        <v>0.35</v>
      </c>
      <c r="F19" s="3" t="s">
        <v>65</v>
      </c>
    </row>
    <row r="20">
      <c r="A20" s="1" t="s">
        <v>66</v>
      </c>
      <c r="B20" s="1">
        <v>1.0</v>
      </c>
      <c r="C20" s="1" t="s">
        <v>67</v>
      </c>
      <c r="D20" s="1" t="s">
        <v>58</v>
      </c>
      <c r="E20" s="1">
        <v>2.31</v>
      </c>
      <c r="F20" s="3" t="s">
        <v>68</v>
      </c>
    </row>
    <row r="21">
      <c r="A21" s="1" t="s">
        <v>69</v>
      </c>
      <c r="B21" s="1">
        <v>3.0</v>
      </c>
      <c r="C21" s="1" t="s">
        <v>70</v>
      </c>
      <c r="D21" s="1" t="s">
        <v>58</v>
      </c>
      <c r="E21" s="1">
        <v>0.86</v>
      </c>
      <c r="F21" s="3" t="s">
        <v>71</v>
      </c>
    </row>
    <row r="22">
      <c r="A22" s="1" t="s">
        <v>72</v>
      </c>
      <c r="B22" s="1">
        <v>1.0</v>
      </c>
      <c r="C22" s="1">
        <v>100.0</v>
      </c>
      <c r="D22" s="1" t="s">
        <v>58</v>
      </c>
      <c r="E22" s="1">
        <v>0.86</v>
      </c>
      <c r="F22" s="3" t="s">
        <v>73</v>
      </c>
    </row>
    <row r="23">
      <c r="A23" s="1" t="s">
        <v>74</v>
      </c>
      <c r="B23" s="1">
        <v>1.0</v>
      </c>
      <c r="C23" s="1">
        <v>50.0</v>
      </c>
      <c r="D23" s="1" t="s">
        <v>58</v>
      </c>
      <c r="E23" s="1">
        <v>0.68</v>
      </c>
      <c r="F23" s="3" t="s">
        <v>75</v>
      </c>
    </row>
    <row r="24">
      <c r="A24" s="1" t="s">
        <v>76</v>
      </c>
      <c r="B24" s="1">
        <v>3.0</v>
      </c>
      <c r="C24" s="1" t="s">
        <v>77</v>
      </c>
      <c r="D24" s="1" t="s">
        <v>58</v>
      </c>
      <c r="E24" s="1">
        <v>0.45</v>
      </c>
      <c r="F24" s="3" t="s">
        <v>78</v>
      </c>
    </row>
    <row r="25">
      <c r="A25" s="1" t="s">
        <v>79</v>
      </c>
      <c r="B25" s="1">
        <v>1.0</v>
      </c>
      <c r="C25" s="1" t="s">
        <v>80</v>
      </c>
      <c r="D25" s="1" t="s">
        <v>81</v>
      </c>
      <c r="E25" s="1">
        <v>37.0</v>
      </c>
      <c r="F25" s="3" t="s">
        <v>82</v>
      </c>
    </row>
    <row r="26">
      <c r="A26" s="1" t="s">
        <v>83</v>
      </c>
      <c r="B26" s="1">
        <v>1.0</v>
      </c>
      <c r="C26" s="1" t="s">
        <v>84</v>
      </c>
      <c r="D26" s="1" t="s">
        <v>85</v>
      </c>
      <c r="E26" s="1">
        <v>13.0</v>
      </c>
      <c r="F26" s="3" t="s">
        <v>86</v>
      </c>
    </row>
    <row r="27">
      <c r="A27" s="1" t="s">
        <v>87</v>
      </c>
      <c r="B27" s="1">
        <v>1.0</v>
      </c>
      <c r="C27" s="1" t="s">
        <v>88</v>
      </c>
      <c r="D27" s="1" t="s">
        <v>89</v>
      </c>
      <c r="E27" s="1">
        <v>249.0</v>
      </c>
      <c r="F27" s="3" t="s">
        <v>90</v>
      </c>
    </row>
    <row r="28">
      <c r="A28" s="1" t="s">
        <v>91</v>
      </c>
      <c r="B28" s="1">
        <v>1.0</v>
      </c>
      <c r="C28" s="1" t="s">
        <v>92</v>
      </c>
      <c r="D28" s="1" t="s">
        <v>93</v>
      </c>
      <c r="E28" s="1">
        <v>569.0</v>
      </c>
      <c r="F28" s="3" t="s">
        <v>94</v>
      </c>
    </row>
    <row r="29">
      <c r="A29" s="1" t="s">
        <v>95</v>
      </c>
      <c r="B29" s="1">
        <v>1.0</v>
      </c>
      <c r="C29" s="1" t="s">
        <v>96</v>
      </c>
      <c r="D29" s="1" t="s">
        <v>97</v>
      </c>
      <c r="E29" s="1">
        <v>139.0</v>
      </c>
      <c r="F29" s="3" t="s">
        <v>98</v>
      </c>
    </row>
    <row r="30">
      <c r="A30" s="1" t="s">
        <v>99</v>
      </c>
      <c r="B30" s="1">
        <v>1.0</v>
      </c>
      <c r="C30" s="1" t="s">
        <v>100</v>
      </c>
      <c r="D30" s="1" t="s">
        <v>101</v>
      </c>
      <c r="E30" s="1">
        <v>22.0</v>
      </c>
      <c r="F30" s="3" t="s">
        <v>102</v>
      </c>
    </row>
    <row r="31">
      <c r="A31" s="1" t="s">
        <v>103</v>
      </c>
      <c r="B31" s="1">
        <v>1.0</v>
      </c>
      <c r="C31" s="1" t="s">
        <v>104</v>
      </c>
      <c r="D31" s="1" t="s">
        <v>105</v>
      </c>
      <c r="E31" s="1">
        <v>14.0</v>
      </c>
      <c r="F31" s="3" t="s">
        <v>106</v>
      </c>
    </row>
    <row r="32">
      <c r="A32" s="1" t="s">
        <v>107</v>
      </c>
      <c r="B32" s="1">
        <v>1.0</v>
      </c>
      <c r="C32" s="1" t="s">
        <v>108</v>
      </c>
      <c r="D32" s="1" t="s">
        <v>109</v>
      </c>
      <c r="E32" s="1">
        <v>299.0</v>
      </c>
      <c r="F32" s="3" t="s">
        <v>110</v>
      </c>
    </row>
    <row r="33">
      <c r="A33" s="1" t="s">
        <v>111</v>
      </c>
      <c r="B33" s="1">
        <v>1.0</v>
      </c>
      <c r="C33" s="1" t="s">
        <v>112</v>
      </c>
      <c r="D33" s="1" t="s">
        <v>109</v>
      </c>
      <c r="E33" s="1">
        <v>41.0</v>
      </c>
      <c r="F33" s="3" t="s">
        <v>113</v>
      </c>
    </row>
    <row r="34">
      <c r="A34" s="1" t="s">
        <v>114</v>
      </c>
      <c r="E34" s="4">
        <f>SUM(E2:E33)</f>
        <v>1464.76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</hyperlinks>
  <drawing r:id="rId31"/>
</worksheet>
</file>